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torials\ZVS\"/>
    </mc:Choice>
  </mc:AlternateContent>
  <xr:revisionPtr revIDLastSave="0" documentId="13_ncr:1_{84B403FF-A7F5-4265-A001-3A5F8E8BC6A0}" xr6:coauthVersionLast="45" xr6:coauthVersionMax="45" xr10:uidLastSave="{00000000-0000-0000-0000-000000000000}"/>
  <bookViews>
    <workbookView xWindow="2064" yWindow="1656" windowWidth="20832" windowHeight="10728" activeTab="1" xr2:uid="{1A61AD8E-1A7C-4430-A177-CD36CE84BEDD}"/>
  </bookViews>
  <sheets>
    <sheet name="Foglio1" sheetId="1" r:id="rId1"/>
    <sheet name="Fogli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9" i="2" l="1"/>
  <c r="C13" i="2" s="1"/>
  <c r="D10" i="1"/>
</calcChain>
</file>

<file path=xl/sharedStrings.xml><?xml version="1.0" encoding="utf-8"?>
<sst xmlns="http://schemas.openxmlformats.org/spreadsheetml/2006/main" count="23" uniqueCount="23">
  <si>
    <t>Raggio [cm]</t>
  </si>
  <si>
    <t>Lunghezza [cm]</t>
  </si>
  <si>
    <t>Spire</t>
  </si>
  <si>
    <t>L [µH]</t>
  </si>
  <si>
    <r>
      <t>L = μ</t>
    </r>
    <r>
      <rPr>
        <vertAlign val="subscript"/>
        <sz val="12"/>
        <color theme="1"/>
        <rFont val="Times New Roman"/>
        <family val="1"/>
      </rPr>
      <t>0</t>
    </r>
    <r>
      <rPr>
        <sz val="12"/>
        <color theme="1"/>
        <rFont val="Times New Roman"/>
        <family val="1"/>
      </rPr>
      <t xml:space="preserve"> N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 π r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 </t>
    </r>
  </si>
  <si>
    <t>P = (C × T × G) / (0,24 × t × η)</t>
  </si>
  <si>
    <t>t</t>
  </si>
  <si>
    <t>kg</t>
  </si>
  <si>
    <t>°C</t>
  </si>
  <si>
    <t>secondi</t>
  </si>
  <si>
    <t>P</t>
  </si>
  <si>
    <t>kW</t>
  </si>
  <si>
    <t>ΔT</t>
  </si>
  <si>
    <t>M</t>
  </si>
  <si>
    <t>c</t>
  </si>
  <si>
    <t>massa del materiale da riscaldare (in kg).</t>
  </si>
  <si>
    <t>tempo necessario per raggiungere la temperatura (in secondi).</t>
  </si>
  <si>
    <t>variazione di temperatura desiderata (in °C).</t>
  </si>
  <si>
    <t>Se si vuole riscaldare 1 kg di acqua da 20°C a 100°C in 60 secondi, e il calore specifico dell'acqua è 4186 J/(kg*°C), il calcolo sarebbe: </t>
  </si>
  <si>
    <t>P = (4186 J/(kg*°C) * 1 kg * (100°C - 20°C)) / 60 s = 5581.33 W</t>
  </si>
  <si>
    <t>calore specifico del materiale (in Kcal/(kg*°C)).</t>
  </si>
  <si>
    <t>potenza (in kW)</t>
  </si>
  <si>
    <t>kcal/(kg 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</si>
</sst>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2" fontId="0" fillId="0" borderId="0" xfId="0" applyNumberFormat="1"/>
    <xf numFmtId="0" fontId="4" fillId="0" borderId="0" xfId="0" applyFont="1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0A4FE-0773-4E34-91DF-5A9DB60CCA61}">
  <dimension ref="B2:D10"/>
  <sheetViews>
    <sheetView workbookViewId="0">
      <selection activeCell="D14" sqref="D14"/>
    </sheetView>
  </sheetViews>
  <sheetFormatPr defaultRowHeight="14.4" x14ac:dyDescent="0.3"/>
  <cols>
    <col min="4" max="4" width="12" bestFit="1" customWidth="1"/>
  </cols>
  <sheetData>
    <row r="2" spans="2:4" ht="15.6" x14ac:dyDescent="0.3">
      <c r="B2" s="1"/>
    </row>
    <row r="4" spans="2:4" x14ac:dyDescent="0.3">
      <c r="B4" t="s">
        <v>0</v>
      </c>
      <c r="D4">
        <v>3</v>
      </c>
    </row>
    <row r="5" spans="2:4" x14ac:dyDescent="0.3">
      <c r="B5" t="s">
        <v>1</v>
      </c>
      <c r="D5">
        <v>6</v>
      </c>
    </row>
    <row r="6" spans="2:4" x14ac:dyDescent="0.3">
      <c r="B6" t="s">
        <v>2</v>
      </c>
      <c r="D6">
        <v>7</v>
      </c>
    </row>
    <row r="8" spans="2:4" ht="19.8" x14ac:dyDescent="0.4">
      <c r="B8" s="2" t="s">
        <v>4</v>
      </c>
    </row>
    <row r="10" spans="2:4" x14ac:dyDescent="0.3">
      <c r="B10" t="s">
        <v>3</v>
      </c>
      <c r="D10">
        <f>1000000*4*PI() *0.0000001 *D6*D6*PI()*(D4/100)*(D4/100)/(D5/100)</f>
        <v>2.9016636939202711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01D40-FF2A-4B1D-88FB-3AAD58977D70}">
  <dimension ref="B3:E23"/>
  <sheetViews>
    <sheetView tabSelected="1" workbookViewId="0">
      <selection activeCell="E29" sqref="E29"/>
    </sheetView>
  </sheetViews>
  <sheetFormatPr defaultRowHeight="14.4" x14ac:dyDescent="0.3"/>
  <cols>
    <col min="4" max="4" width="10.5546875" customWidth="1"/>
  </cols>
  <sheetData>
    <row r="3" spans="2:5" x14ac:dyDescent="0.3">
      <c r="B3" t="s">
        <v>5</v>
      </c>
    </row>
    <row r="7" spans="2:5" x14ac:dyDescent="0.3">
      <c r="B7" t="s">
        <v>14</v>
      </c>
      <c r="C7">
        <v>0.12</v>
      </c>
      <c r="D7" t="s">
        <v>22</v>
      </c>
      <c r="E7" t="s">
        <v>20</v>
      </c>
    </row>
    <row r="8" spans="2:5" x14ac:dyDescent="0.3">
      <c r="B8" t="s">
        <v>12</v>
      </c>
      <c r="C8">
        <v>500</v>
      </c>
      <c r="D8" t="s">
        <v>8</v>
      </c>
      <c r="E8" t="s">
        <v>17</v>
      </c>
    </row>
    <row r="9" spans="2:5" x14ac:dyDescent="0.3">
      <c r="B9" t="s">
        <v>13</v>
      </c>
      <c r="C9">
        <f>10/1000</f>
        <v>0.01</v>
      </c>
      <c r="D9" t="s">
        <v>7</v>
      </c>
      <c r="E9" t="s">
        <v>15</v>
      </c>
    </row>
    <row r="10" spans="2:5" x14ac:dyDescent="0.3">
      <c r="B10" t="s">
        <v>6</v>
      </c>
      <c r="C10">
        <v>30</v>
      </c>
      <c r="D10" t="s">
        <v>9</v>
      </c>
      <c r="E10" t="s">
        <v>16</v>
      </c>
    </row>
    <row r="13" spans="2:5" x14ac:dyDescent="0.3">
      <c r="B13" t="s">
        <v>10</v>
      </c>
      <c r="C13" s="3">
        <f>(C7*C8*C9)/(0.24*C10*0.6)</f>
        <v>0.1388888888888889</v>
      </c>
      <c r="D13" t="s">
        <v>11</v>
      </c>
      <c r="E13" t="s">
        <v>21</v>
      </c>
    </row>
    <row r="20" spans="2:2" x14ac:dyDescent="0.3">
      <c r="B20" t="s">
        <v>18</v>
      </c>
    </row>
    <row r="23" spans="2:2" ht="15" x14ac:dyDescent="0.3">
      <c r="B23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</dc:creator>
  <cp:lastModifiedBy>Leonardo</cp:lastModifiedBy>
  <dcterms:created xsi:type="dcterms:W3CDTF">2025-08-16T14:55:15Z</dcterms:created>
  <dcterms:modified xsi:type="dcterms:W3CDTF">2025-11-28T19:24:04Z</dcterms:modified>
</cp:coreProperties>
</file>