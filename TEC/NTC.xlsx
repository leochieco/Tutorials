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getti_lse\TEC\"/>
    </mc:Choice>
  </mc:AlternateContent>
  <xr:revisionPtr revIDLastSave="0" documentId="13_ncr:1_{6FFD6EDA-F456-43B5-AE43-EFFA71164E02}" xr6:coauthVersionLast="45" xr6:coauthVersionMax="45" xr10:uidLastSave="{00000000-0000-0000-0000-000000000000}"/>
  <bookViews>
    <workbookView xWindow="2208" yWindow="708" windowWidth="20832" windowHeight="10728" xr2:uid="{3AE6F56D-436E-4E03-AA44-C6A243ADB356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10" i="1" l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C25" i="1"/>
  <c r="C26" i="1" s="1"/>
  <c r="C27" i="1" s="1"/>
  <c r="C28" i="1" s="1"/>
  <c r="C29" i="1" s="1"/>
  <c r="C22" i="1"/>
  <c r="C23" i="1"/>
  <c r="C24" i="1"/>
  <c r="C11" i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10" i="1"/>
  <c r="B9" i="1"/>
</calcChain>
</file>

<file path=xl/sharedStrings.xml><?xml version="1.0" encoding="utf-8"?>
<sst xmlns="http://schemas.openxmlformats.org/spreadsheetml/2006/main" count="6" uniqueCount="6">
  <si>
    <t>b</t>
  </si>
  <si>
    <t>R=R0*exp((B*(1/(T0+V(Tc)) - 1/(T0+25))))</t>
  </si>
  <si>
    <t>R0</t>
  </si>
  <si>
    <t>R</t>
  </si>
  <si>
    <t>T</t>
  </si>
  <si>
    <t>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</si>
</sst>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b="1"/>
              <a:t>R [</a:t>
            </a:r>
            <a:r>
              <a:rPr lang="it-IT" sz="1400" b="1" i="0" u="none" strike="noStrike" baseline="0"/>
              <a:t>Ω]  vs Temperaure [°C]</a:t>
            </a:r>
            <a:endParaRPr lang="it-IT" b="1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2"/>
          <c:order val="0"/>
          <c:marker>
            <c:symbol val="none"/>
          </c:marker>
          <c:xVal>
            <c:numRef>
              <c:f>Foglio1!$C$9:$C$29</c:f>
              <c:numCache>
                <c:formatCode>General</c:formatCode>
                <c:ptCount val="21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  <c:pt idx="11">
                  <c:v>-1</c:v>
                </c:pt>
                <c:pt idx="12">
                  <c:v>-2</c:v>
                </c:pt>
                <c:pt idx="13">
                  <c:v>-3</c:v>
                </c:pt>
                <c:pt idx="14">
                  <c:v>-4</c:v>
                </c:pt>
                <c:pt idx="15">
                  <c:v>-5</c:v>
                </c:pt>
                <c:pt idx="16">
                  <c:v>-6</c:v>
                </c:pt>
                <c:pt idx="17">
                  <c:v>-7</c:v>
                </c:pt>
                <c:pt idx="18">
                  <c:v>-8</c:v>
                </c:pt>
                <c:pt idx="19">
                  <c:v>-9</c:v>
                </c:pt>
                <c:pt idx="20">
                  <c:v>-10</c:v>
                </c:pt>
              </c:numCache>
            </c:numRef>
          </c:xVal>
          <c:yVal>
            <c:numRef>
              <c:f>Foglio1!$B$9:$B$29</c:f>
              <c:numCache>
                <c:formatCode>0</c:formatCode>
                <c:ptCount val="21"/>
                <c:pt idx="0">
                  <c:v>18422.056005235852</c:v>
                </c:pt>
                <c:pt idx="1">
                  <c:v>19232.28772993388</c:v>
                </c:pt>
                <c:pt idx="2">
                  <c:v>20084.306594520069</c:v>
                </c:pt>
                <c:pt idx="3">
                  <c:v>20980.566369020671</c:v>
                </c:pt>
                <c:pt idx="4">
                  <c:v>21923.681780174746</c:v>
                </c:pt>
                <c:pt idx="5">
                  <c:v>22916.440146739886</c:v>
                </c:pt>
                <c:pt idx="6">
                  <c:v>23961.813932272315</c:v>
                </c:pt>
                <c:pt idx="7">
                  <c:v>25062.974293664065</c:v>
                </c:pt>
                <c:pt idx="8">
                  <c:v>26223.305710900138</c:v>
                </c:pt>
                <c:pt idx="9">
                  <c:v>27446.421791383989</c:v>
                </c:pt>
                <c:pt idx="10">
                  <c:v>28736.182350842126</c:v>
                </c:pt>
                <c:pt idx="11">
                  <c:v>30096.711882340824</c:v>
                </c:pt>
                <c:pt idx="12">
                  <c:v>31532.419535420897</c:v>
                </c:pt>
                <c:pt idx="13">
                  <c:v>33048.020738879444</c:v>
                </c:pt>
                <c:pt idx="14">
                  <c:v>34648.560613415008</c:v>
                </c:pt>
                <c:pt idx="15">
                  <c:v>36339.439334328752</c:v>
                </c:pt>
                <c:pt idx="16">
                  <c:v>38126.439619875746</c:v>
                </c:pt>
                <c:pt idx="17">
                  <c:v>40015.756537848632</c:v>
                </c:pt>
                <c:pt idx="18">
                  <c:v>42014.029841717078</c:v>
                </c:pt>
                <c:pt idx="19">
                  <c:v>44128.379068336522</c:v>
                </c:pt>
                <c:pt idx="20">
                  <c:v>46366.441652097958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FC2E-4961-B12C-4C9889FA263A}"/>
            </c:ext>
          </c:extLst>
        </c:ser>
        <c:ser>
          <c:idx val="3"/>
          <c:order val="1"/>
          <c:marker>
            <c:symbol val="none"/>
          </c:marker>
          <c:xVal>
            <c:numRef>
              <c:f>Foglio1!$C$9:$C$29</c:f>
              <c:numCache>
                <c:formatCode>General</c:formatCode>
                <c:ptCount val="21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  <c:pt idx="11">
                  <c:v>-1</c:v>
                </c:pt>
                <c:pt idx="12">
                  <c:v>-2</c:v>
                </c:pt>
                <c:pt idx="13">
                  <c:v>-3</c:v>
                </c:pt>
                <c:pt idx="14">
                  <c:v>-4</c:v>
                </c:pt>
                <c:pt idx="15">
                  <c:v>-5</c:v>
                </c:pt>
                <c:pt idx="16">
                  <c:v>-6</c:v>
                </c:pt>
                <c:pt idx="17">
                  <c:v>-7</c:v>
                </c:pt>
                <c:pt idx="18">
                  <c:v>-8</c:v>
                </c:pt>
                <c:pt idx="19">
                  <c:v>-9</c:v>
                </c:pt>
                <c:pt idx="20">
                  <c:v>-10</c:v>
                </c:pt>
              </c:numCache>
            </c:numRef>
          </c:xVal>
          <c:yVal>
            <c:numRef>
              <c:f>Foglio1!$G$9:$G$29</c:f>
              <c:numCache>
                <c:formatCode>General</c:formatCode>
                <c:ptCount val="21"/>
                <c:pt idx="0">
                  <c:v>11111.476150225355</c:v>
                </c:pt>
                <c:pt idx="1">
                  <c:v>11401.185128216157</c:v>
                </c:pt>
                <c:pt idx="2">
                  <c:v>11695.304029000004</c:v>
                </c:pt>
                <c:pt idx="3">
                  <c:v>11993.651806854852</c:v>
                </c:pt>
                <c:pt idx="4">
                  <c:v>12296.030019337732</c:v>
                </c:pt>
                <c:pt idx="5">
                  <c:v>12602.222823501959</c:v>
                </c:pt>
                <c:pt idx="6">
                  <c:v>12911.997086516734</c:v>
                </c:pt>
                <c:pt idx="7">
                  <c:v>13225.102617483451</c:v>
                </c:pt>
                <c:pt idx="8">
                  <c:v>13541.272526245151</c:v>
                </c:pt>
                <c:pt idx="9">
                  <c:v>13860.223713808193</c:v>
                </c:pt>
                <c:pt idx="10">
                  <c:v>14181.657497645096</c:v>
                </c:pt>
                <c:pt idx="11">
                  <c:v>14505.260373637324</c:v>
                </c:pt>
                <c:pt idx="12">
                  <c:v>14830.704914764439</c:v>
                </c:pt>
                <c:pt idx="13">
                  <c:v>15157.650804873734</c:v>
                </c:pt>
                <c:pt idx="14">
                  <c:v>15485.746004001228</c:v>
                </c:pt>
                <c:pt idx="15">
                  <c:v>15814.628039792517</c:v>
                </c:pt>
                <c:pt idx="16">
                  <c:v>16143.925417627481</c:v>
                </c:pt>
                <c:pt idx="17">
                  <c:v>16473.259140126913</c:v>
                </c:pt>
                <c:pt idx="18">
                  <c:v>16802.244324852985</c:v>
                </c:pt>
                <c:pt idx="19">
                  <c:v>17130.491907253097</c:v>
                </c:pt>
                <c:pt idx="20">
                  <c:v>17457.610414281768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FC2E-4961-B12C-4C9889FA263A}"/>
            </c:ext>
          </c:extLst>
        </c:ser>
        <c:ser>
          <c:idx val="4"/>
          <c:order val="2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Foglio1!$C$9:$C$29</c:f>
              <c:numCache>
                <c:formatCode>General</c:formatCode>
                <c:ptCount val="21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  <c:pt idx="11">
                  <c:v>-1</c:v>
                </c:pt>
                <c:pt idx="12">
                  <c:v>-2</c:v>
                </c:pt>
                <c:pt idx="13">
                  <c:v>-3</c:v>
                </c:pt>
                <c:pt idx="14">
                  <c:v>-4</c:v>
                </c:pt>
                <c:pt idx="15">
                  <c:v>-5</c:v>
                </c:pt>
                <c:pt idx="16">
                  <c:v>-6</c:v>
                </c:pt>
                <c:pt idx="17">
                  <c:v>-7</c:v>
                </c:pt>
                <c:pt idx="18">
                  <c:v>-8</c:v>
                </c:pt>
                <c:pt idx="19">
                  <c:v>-9</c:v>
                </c:pt>
                <c:pt idx="20">
                  <c:v>-10</c:v>
                </c:pt>
              </c:numCache>
            </c:numRef>
          </c:xVal>
          <c:yVal>
            <c:numRef>
              <c:f>Foglio1!$B$9:$B$29</c:f>
              <c:numCache>
                <c:formatCode>0</c:formatCode>
                <c:ptCount val="21"/>
                <c:pt idx="0">
                  <c:v>18422.056005235852</c:v>
                </c:pt>
                <c:pt idx="1">
                  <c:v>19232.28772993388</c:v>
                </c:pt>
                <c:pt idx="2">
                  <c:v>20084.306594520069</c:v>
                </c:pt>
                <c:pt idx="3">
                  <c:v>20980.566369020671</c:v>
                </c:pt>
                <c:pt idx="4">
                  <c:v>21923.681780174746</c:v>
                </c:pt>
                <c:pt idx="5">
                  <c:v>22916.440146739886</c:v>
                </c:pt>
                <c:pt idx="6">
                  <c:v>23961.813932272315</c:v>
                </c:pt>
                <c:pt idx="7">
                  <c:v>25062.974293664065</c:v>
                </c:pt>
                <c:pt idx="8">
                  <c:v>26223.305710900138</c:v>
                </c:pt>
                <c:pt idx="9">
                  <c:v>27446.421791383989</c:v>
                </c:pt>
                <c:pt idx="10">
                  <c:v>28736.182350842126</c:v>
                </c:pt>
                <c:pt idx="11">
                  <c:v>30096.711882340824</c:v>
                </c:pt>
                <c:pt idx="12">
                  <c:v>31532.419535420897</c:v>
                </c:pt>
                <c:pt idx="13">
                  <c:v>33048.020738879444</c:v>
                </c:pt>
                <c:pt idx="14">
                  <c:v>34648.560613415008</c:v>
                </c:pt>
                <c:pt idx="15">
                  <c:v>36339.439334328752</c:v>
                </c:pt>
                <c:pt idx="16">
                  <c:v>38126.439619875746</c:v>
                </c:pt>
                <c:pt idx="17">
                  <c:v>40015.756537848632</c:v>
                </c:pt>
                <c:pt idx="18">
                  <c:v>42014.029841717078</c:v>
                </c:pt>
                <c:pt idx="19">
                  <c:v>44128.379068336522</c:v>
                </c:pt>
                <c:pt idx="20">
                  <c:v>46366.441652097958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FC2E-4961-B12C-4C9889FA263A}"/>
            </c:ext>
          </c:extLst>
        </c:ser>
        <c:ser>
          <c:idx val="5"/>
          <c:order val="3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Foglio1!$C$9:$C$29</c:f>
              <c:numCache>
                <c:formatCode>General</c:formatCode>
                <c:ptCount val="21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  <c:pt idx="11">
                  <c:v>-1</c:v>
                </c:pt>
                <c:pt idx="12">
                  <c:v>-2</c:v>
                </c:pt>
                <c:pt idx="13">
                  <c:v>-3</c:v>
                </c:pt>
                <c:pt idx="14">
                  <c:v>-4</c:v>
                </c:pt>
                <c:pt idx="15">
                  <c:v>-5</c:v>
                </c:pt>
                <c:pt idx="16">
                  <c:v>-6</c:v>
                </c:pt>
                <c:pt idx="17">
                  <c:v>-7</c:v>
                </c:pt>
                <c:pt idx="18">
                  <c:v>-8</c:v>
                </c:pt>
                <c:pt idx="19">
                  <c:v>-9</c:v>
                </c:pt>
                <c:pt idx="20">
                  <c:v>-10</c:v>
                </c:pt>
              </c:numCache>
            </c:numRef>
          </c:xVal>
          <c:yVal>
            <c:numRef>
              <c:f>Foglio1!$G$9:$G$29</c:f>
              <c:numCache>
                <c:formatCode>General</c:formatCode>
                <c:ptCount val="21"/>
                <c:pt idx="0">
                  <c:v>11111.476150225355</c:v>
                </c:pt>
                <c:pt idx="1">
                  <c:v>11401.185128216157</c:v>
                </c:pt>
                <c:pt idx="2">
                  <c:v>11695.304029000004</c:v>
                </c:pt>
                <c:pt idx="3">
                  <c:v>11993.651806854852</c:v>
                </c:pt>
                <c:pt idx="4">
                  <c:v>12296.030019337732</c:v>
                </c:pt>
                <c:pt idx="5">
                  <c:v>12602.222823501959</c:v>
                </c:pt>
                <c:pt idx="6">
                  <c:v>12911.997086516734</c:v>
                </c:pt>
                <c:pt idx="7">
                  <c:v>13225.102617483451</c:v>
                </c:pt>
                <c:pt idx="8">
                  <c:v>13541.272526245151</c:v>
                </c:pt>
                <c:pt idx="9">
                  <c:v>13860.223713808193</c:v>
                </c:pt>
                <c:pt idx="10">
                  <c:v>14181.657497645096</c:v>
                </c:pt>
                <c:pt idx="11">
                  <c:v>14505.260373637324</c:v>
                </c:pt>
                <c:pt idx="12">
                  <c:v>14830.704914764439</c:v>
                </c:pt>
                <c:pt idx="13">
                  <c:v>15157.650804873734</c:v>
                </c:pt>
                <c:pt idx="14">
                  <c:v>15485.746004001228</c:v>
                </c:pt>
                <c:pt idx="15">
                  <c:v>15814.628039792517</c:v>
                </c:pt>
                <c:pt idx="16">
                  <c:v>16143.925417627481</c:v>
                </c:pt>
                <c:pt idx="17">
                  <c:v>16473.259140126913</c:v>
                </c:pt>
                <c:pt idx="18">
                  <c:v>16802.244324852985</c:v>
                </c:pt>
                <c:pt idx="19">
                  <c:v>17130.491907253097</c:v>
                </c:pt>
                <c:pt idx="20">
                  <c:v>17457.610414281768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FC2E-4961-B12C-4C9889FA263A}"/>
            </c:ext>
          </c:extLst>
        </c:ser>
        <c:ser>
          <c:idx val="1"/>
          <c:order val="4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trendlineType val="linear"/>
            <c:dispRSqr val="1"/>
            <c:dispEq val="1"/>
            <c:trendlineLbl>
              <c:layout>
                <c:manualLayout>
                  <c:x val="-1.1445209973753281E-2"/>
                  <c:y val="4.9906857519798002E-2"/>
                </c:manualLayout>
              </c:layout>
              <c:numFmt formatCode="General" sourceLinked="0"/>
            </c:trendlineLbl>
          </c:trendline>
          <c:xVal>
            <c:numRef>
              <c:f>Foglio1!$C$9:$C$29</c:f>
              <c:numCache>
                <c:formatCode>General</c:formatCode>
                <c:ptCount val="21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  <c:pt idx="11">
                  <c:v>-1</c:v>
                </c:pt>
                <c:pt idx="12">
                  <c:v>-2</c:v>
                </c:pt>
                <c:pt idx="13">
                  <c:v>-3</c:v>
                </c:pt>
                <c:pt idx="14">
                  <c:v>-4</c:v>
                </c:pt>
                <c:pt idx="15">
                  <c:v>-5</c:v>
                </c:pt>
                <c:pt idx="16">
                  <c:v>-6</c:v>
                </c:pt>
                <c:pt idx="17">
                  <c:v>-7</c:v>
                </c:pt>
                <c:pt idx="18">
                  <c:v>-8</c:v>
                </c:pt>
                <c:pt idx="19">
                  <c:v>-9</c:v>
                </c:pt>
                <c:pt idx="20">
                  <c:v>-10</c:v>
                </c:pt>
              </c:numCache>
            </c:numRef>
          </c:xVal>
          <c:yVal>
            <c:numRef>
              <c:f>Foglio1!$G$9:$G$29</c:f>
              <c:numCache>
                <c:formatCode>General</c:formatCode>
                <c:ptCount val="21"/>
                <c:pt idx="0">
                  <c:v>11111.476150225355</c:v>
                </c:pt>
                <c:pt idx="1">
                  <c:v>11401.185128216157</c:v>
                </c:pt>
                <c:pt idx="2">
                  <c:v>11695.304029000004</c:v>
                </c:pt>
                <c:pt idx="3">
                  <c:v>11993.651806854852</c:v>
                </c:pt>
                <c:pt idx="4">
                  <c:v>12296.030019337732</c:v>
                </c:pt>
                <c:pt idx="5">
                  <c:v>12602.222823501959</c:v>
                </c:pt>
                <c:pt idx="6">
                  <c:v>12911.997086516734</c:v>
                </c:pt>
                <c:pt idx="7">
                  <c:v>13225.102617483451</c:v>
                </c:pt>
                <c:pt idx="8">
                  <c:v>13541.272526245151</c:v>
                </c:pt>
                <c:pt idx="9">
                  <c:v>13860.223713808193</c:v>
                </c:pt>
                <c:pt idx="10">
                  <c:v>14181.657497645096</c:v>
                </c:pt>
                <c:pt idx="11">
                  <c:v>14505.260373637324</c:v>
                </c:pt>
                <c:pt idx="12">
                  <c:v>14830.704914764439</c:v>
                </c:pt>
                <c:pt idx="13">
                  <c:v>15157.650804873734</c:v>
                </c:pt>
                <c:pt idx="14">
                  <c:v>15485.746004001228</c:v>
                </c:pt>
                <c:pt idx="15">
                  <c:v>15814.628039792517</c:v>
                </c:pt>
                <c:pt idx="16">
                  <c:v>16143.925417627481</c:v>
                </c:pt>
                <c:pt idx="17">
                  <c:v>16473.259140126913</c:v>
                </c:pt>
                <c:pt idx="18">
                  <c:v>16802.244324852985</c:v>
                </c:pt>
                <c:pt idx="19">
                  <c:v>17130.491907253097</c:v>
                </c:pt>
                <c:pt idx="20">
                  <c:v>17457.610414281768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FC2E-4961-B12C-4C9889FA26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8084976"/>
        <c:axId val="378085304"/>
      </c:scatterChart>
      <c:valAx>
        <c:axId val="378084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78085304"/>
        <c:crosses val="autoZero"/>
        <c:crossBetween val="midCat"/>
      </c:valAx>
      <c:valAx>
        <c:axId val="378085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78084976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435429</xdr:colOff>
      <xdr:row>3</xdr:row>
      <xdr:rowOff>92528</xdr:rowOff>
    </xdr:from>
    <xdr:to>
      <xdr:col>21</xdr:col>
      <xdr:colOff>435429</xdr:colOff>
      <xdr:row>31</xdr:row>
      <xdr:rowOff>152399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4FE430A2-8FC0-40FC-A144-DF85DACBE8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944E9-0876-4404-880E-74AD2A144652}">
  <dimension ref="B2:G29"/>
  <sheetViews>
    <sheetView tabSelected="1" zoomScale="70" zoomScaleNormal="70" workbookViewId="0">
      <selection activeCell="X25" sqref="X25"/>
    </sheetView>
  </sheetViews>
  <sheetFormatPr defaultRowHeight="14.4" x14ac:dyDescent="0.3"/>
  <sheetData>
    <row r="2" spans="2:7" x14ac:dyDescent="0.3">
      <c r="B2" t="s">
        <v>2</v>
      </c>
      <c r="C2">
        <v>10000</v>
      </c>
      <c r="F2" t="s">
        <v>5</v>
      </c>
      <c r="G2">
        <v>28000</v>
      </c>
    </row>
    <row r="3" spans="2:7" x14ac:dyDescent="0.3">
      <c r="B3" t="s">
        <v>0</v>
      </c>
      <c r="C3">
        <v>3435</v>
      </c>
    </row>
    <row r="5" spans="2:7" x14ac:dyDescent="0.3">
      <c r="B5" t="s">
        <v>1</v>
      </c>
    </row>
    <row r="8" spans="2:7" x14ac:dyDescent="0.3">
      <c r="B8" t="s">
        <v>3</v>
      </c>
      <c r="C8" t="s">
        <v>4</v>
      </c>
    </row>
    <row r="9" spans="2:7" x14ac:dyDescent="0.3">
      <c r="B9" s="1">
        <f>$C$2*EXP($C$3*( (1/(C9+273)) - (1/(273+25))))</f>
        <v>18422.056005235852</v>
      </c>
      <c r="C9">
        <v>10</v>
      </c>
      <c r="G9">
        <f>B9*$G$2/(B9+$G$2)</f>
        <v>11111.476150225355</v>
      </c>
    </row>
    <row r="10" spans="2:7" x14ac:dyDescent="0.3">
      <c r="B10" s="1">
        <f t="shared" ref="B10:B29" si="0">$C$2*EXP($C$3*( (1/(C10+273)) - (1/(273+25))))</f>
        <v>19232.28772993388</v>
      </c>
      <c r="C10">
        <f>C9-1</f>
        <v>9</v>
      </c>
      <c r="G10">
        <f t="shared" ref="G10:G29" si="1">B10*$G$2/(B10+$G$2)</f>
        <v>11401.185128216157</v>
      </c>
    </row>
    <row r="11" spans="2:7" x14ac:dyDescent="0.3">
      <c r="B11" s="1">
        <f t="shared" si="0"/>
        <v>20084.306594520069</v>
      </c>
      <c r="C11">
        <f t="shared" ref="C11:C29" si="2">C10-1</f>
        <v>8</v>
      </c>
      <c r="G11">
        <f t="shared" si="1"/>
        <v>11695.304029000004</v>
      </c>
    </row>
    <row r="12" spans="2:7" x14ac:dyDescent="0.3">
      <c r="B12" s="1">
        <f t="shared" si="0"/>
        <v>20980.566369020671</v>
      </c>
      <c r="C12">
        <f t="shared" si="2"/>
        <v>7</v>
      </c>
      <c r="G12">
        <f t="shared" si="1"/>
        <v>11993.651806854852</v>
      </c>
    </row>
    <row r="13" spans="2:7" x14ac:dyDescent="0.3">
      <c r="B13" s="1">
        <f t="shared" si="0"/>
        <v>21923.681780174746</v>
      </c>
      <c r="C13">
        <f t="shared" si="2"/>
        <v>6</v>
      </c>
      <c r="G13">
        <f t="shared" si="1"/>
        <v>12296.030019337732</v>
      </c>
    </row>
    <row r="14" spans="2:7" x14ac:dyDescent="0.3">
      <c r="B14" s="1">
        <f t="shared" si="0"/>
        <v>22916.440146739886</v>
      </c>
      <c r="C14">
        <f t="shared" si="2"/>
        <v>5</v>
      </c>
      <c r="G14">
        <f t="shared" si="1"/>
        <v>12602.222823501959</v>
      </c>
    </row>
    <row r="15" spans="2:7" x14ac:dyDescent="0.3">
      <c r="B15" s="1">
        <f t="shared" si="0"/>
        <v>23961.813932272315</v>
      </c>
      <c r="C15">
        <f t="shared" si="2"/>
        <v>4</v>
      </c>
      <c r="G15">
        <f t="shared" si="1"/>
        <v>12911.997086516734</v>
      </c>
    </row>
    <row r="16" spans="2:7" x14ac:dyDescent="0.3">
      <c r="B16" s="1">
        <f t="shared" si="0"/>
        <v>25062.974293664065</v>
      </c>
      <c r="C16">
        <f t="shared" si="2"/>
        <v>3</v>
      </c>
      <c r="G16">
        <f t="shared" si="1"/>
        <v>13225.102617483451</v>
      </c>
    </row>
    <row r="17" spans="2:7" x14ac:dyDescent="0.3">
      <c r="B17" s="1">
        <f t="shared" si="0"/>
        <v>26223.305710900138</v>
      </c>
      <c r="C17">
        <f t="shared" si="2"/>
        <v>2</v>
      </c>
      <c r="G17">
        <f t="shared" si="1"/>
        <v>13541.272526245151</v>
      </c>
    </row>
    <row r="18" spans="2:7" x14ac:dyDescent="0.3">
      <c r="B18" s="1">
        <f t="shared" si="0"/>
        <v>27446.421791383989</v>
      </c>
      <c r="C18">
        <f t="shared" si="2"/>
        <v>1</v>
      </c>
      <c r="G18">
        <f t="shared" si="1"/>
        <v>13860.223713808193</v>
      </c>
    </row>
    <row r="19" spans="2:7" x14ac:dyDescent="0.3">
      <c r="B19" s="1">
        <f t="shared" si="0"/>
        <v>28736.182350842126</v>
      </c>
      <c r="C19">
        <f t="shared" si="2"/>
        <v>0</v>
      </c>
      <c r="G19">
        <f t="shared" si="1"/>
        <v>14181.657497645096</v>
      </c>
    </row>
    <row r="20" spans="2:7" x14ac:dyDescent="0.3">
      <c r="B20" s="1">
        <f t="shared" si="0"/>
        <v>30096.711882340824</v>
      </c>
      <c r="C20">
        <f t="shared" si="2"/>
        <v>-1</v>
      </c>
      <c r="G20">
        <f t="shared" si="1"/>
        <v>14505.260373637324</v>
      </c>
    </row>
    <row r="21" spans="2:7" x14ac:dyDescent="0.3">
      <c r="B21" s="1">
        <f t="shared" si="0"/>
        <v>31532.419535420897</v>
      </c>
      <c r="C21">
        <f t="shared" si="2"/>
        <v>-2</v>
      </c>
      <c r="G21">
        <f t="shared" si="1"/>
        <v>14830.704914764439</v>
      </c>
    </row>
    <row r="22" spans="2:7" x14ac:dyDescent="0.3">
      <c r="B22" s="1">
        <f t="shared" si="0"/>
        <v>33048.020738879444</v>
      </c>
      <c r="C22">
        <f>C21-1</f>
        <v>-3</v>
      </c>
      <c r="G22">
        <f t="shared" si="1"/>
        <v>15157.650804873734</v>
      </c>
    </row>
    <row r="23" spans="2:7" x14ac:dyDescent="0.3">
      <c r="B23" s="1">
        <f t="shared" si="0"/>
        <v>34648.560613415008</v>
      </c>
      <c r="C23">
        <f t="shared" si="2"/>
        <v>-4</v>
      </c>
      <c r="G23">
        <f t="shared" si="1"/>
        <v>15485.746004001228</v>
      </c>
    </row>
    <row r="24" spans="2:7" x14ac:dyDescent="0.3">
      <c r="B24" s="1">
        <f t="shared" si="0"/>
        <v>36339.439334328752</v>
      </c>
      <c r="C24">
        <f t="shared" si="2"/>
        <v>-5</v>
      </c>
      <c r="G24">
        <f t="shared" si="1"/>
        <v>15814.628039792517</v>
      </c>
    </row>
    <row r="25" spans="2:7" x14ac:dyDescent="0.3">
      <c r="B25" s="1">
        <f t="shared" si="0"/>
        <v>38126.439619875746</v>
      </c>
      <c r="C25">
        <f>C24-1</f>
        <v>-6</v>
      </c>
      <c r="G25">
        <f t="shared" si="1"/>
        <v>16143.925417627481</v>
      </c>
    </row>
    <row r="26" spans="2:7" x14ac:dyDescent="0.3">
      <c r="B26" s="1">
        <f t="shared" si="0"/>
        <v>40015.756537848632</v>
      </c>
      <c r="C26">
        <f t="shared" si="2"/>
        <v>-7</v>
      </c>
      <c r="G26">
        <f t="shared" si="1"/>
        <v>16473.259140126913</v>
      </c>
    </row>
    <row r="27" spans="2:7" x14ac:dyDescent="0.3">
      <c r="B27" s="1">
        <f t="shared" si="0"/>
        <v>42014.029841717078</v>
      </c>
      <c r="C27">
        <f t="shared" si="2"/>
        <v>-8</v>
      </c>
      <c r="G27">
        <f t="shared" si="1"/>
        <v>16802.244324852985</v>
      </c>
    </row>
    <row r="28" spans="2:7" x14ac:dyDescent="0.3">
      <c r="B28" s="1">
        <f t="shared" si="0"/>
        <v>44128.379068336522</v>
      </c>
      <c r="C28">
        <f t="shared" si="2"/>
        <v>-9</v>
      </c>
      <c r="G28">
        <f t="shared" si="1"/>
        <v>17130.491907253097</v>
      </c>
    </row>
    <row r="29" spans="2:7" x14ac:dyDescent="0.3">
      <c r="B29" s="1">
        <f t="shared" si="0"/>
        <v>46366.441652097958</v>
      </c>
      <c r="C29">
        <f t="shared" si="2"/>
        <v>-10</v>
      </c>
      <c r="G29">
        <f t="shared" si="1"/>
        <v>17457.610414281768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</dc:creator>
  <cp:lastModifiedBy>Leonardo</cp:lastModifiedBy>
  <dcterms:created xsi:type="dcterms:W3CDTF">2025-08-21T13:43:46Z</dcterms:created>
  <dcterms:modified xsi:type="dcterms:W3CDTF">2025-08-21T14:13:20Z</dcterms:modified>
</cp:coreProperties>
</file>